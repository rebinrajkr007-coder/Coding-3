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3f39c4c932c2c029/Documents/"/>
    </mc:Choice>
  </mc:AlternateContent>
  <xr:revisionPtr revIDLastSave="0" documentId="8_{CDE74A54-9152-419B-8D27-1BA1E2F4F5D6}" xr6:coauthVersionLast="47" xr6:coauthVersionMax="47" xr10:uidLastSave="{00000000-0000-0000-0000-000000000000}"/>
  <bookViews>
    <workbookView xWindow="-108" yWindow="-108" windowWidth="23256" windowHeight="13896" xr2:uid="{60EB2FED-9201-40A2-8697-066A8844A7CD}"/>
  </bookViews>
  <sheets>
    <sheet name="Dateset" sheetId="1" r:id="rId1"/>
    <sheet name="Date&amp;Time" sheetId="2" r:id="rId2"/>
    <sheet name="Lookup" sheetId="3" r:id="rId3"/>
    <sheet name="Pivot" sheetId="4" r:id="rId4"/>
    <sheet name="Dashboard" sheetId="5" r:id="rId5"/>
  </sheets>
  <definedNames>
    <definedName name="Slicer_ProductID">#N/A</definedName>
    <definedName name="Slicer_RegionName">#N/A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3" l="1"/>
  <c r="M11" i="3"/>
  <c r="M12" i="3"/>
  <c r="M9" i="3"/>
  <c r="I10" i="3"/>
  <c r="I11" i="3"/>
  <c r="I12" i="3"/>
  <c r="I9" i="3"/>
  <c r="J3" i="2"/>
  <c r="J4" i="2"/>
  <c r="J5" i="2"/>
  <c r="J6" i="2"/>
  <c r="J7" i="2"/>
  <c r="J8" i="2"/>
  <c r="J9" i="2"/>
  <c r="J2" i="2"/>
  <c r="I3" i="2"/>
  <c r="I4" i="2"/>
  <c r="I5" i="2"/>
  <c r="I6" i="2"/>
  <c r="I7" i="2"/>
  <c r="I8" i="2"/>
  <c r="I9" i="2"/>
  <c r="I2" i="2"/>
  <c r="H3" i="2"/>
  <c r="H4" i="2"/>
  <c r="H5" i="2"/>
  <c r="H6" i="2"/>
  <c r="H7" i="2"/>
  <c r="H8" i="2"/>
  <c r="H9" i="2"/>
  <c r="H2" i="2"/>
</calcChain>
</file>

<file path=xl/sharedStrings.xml><?xml version="1.0" encoding="utf-8"?>
<sst xmlns="http://schemas.openxmlformats.org/spreadsheetml/2006/main" count="164" uniqueCount="55">
  <si>
    <t>Sales Table</t>
  </si>
  <si>
    <t>OrderID</t>
  </si>
  <si>
    <t>OrderDate</t>
  </si>
  <si>
    <t>Time</t>
  </si>
  <si>
    <t>ProductID</t>
  </si>
  <si>
    <t>RegionID</t>
  </si>
  <si>
    <t>Quantity</t>
  </si>
  <si>
    <t>SalesAmount</t>
  </si>
  <si>
    <t>O201</t>
  </si>
  <si>
    <t>P301</t>
  </si>
  <si>
    <t>R1</t>
  </si>
  <si>
    <t>O202</t>
  </si>
  <si>
    <t>P302</t>
  </si>
  <si>
    <t>R2</t>
  </si>
  <si>
    <t>O203</t>
  </si>
  <si>
    <t>P303</t>
  </si>
  <si>
    <t>R3</t>
  </si>
  <si>
    <t>O204</t>
  </si>
  <si>
    <t>P304</t>
  </si>
  <si>
    <t>O205</t>
  </si>
  <si>
    <t>O206</t>
  </si>
  <si>
    <t>O207</t>
  </si>
  <si>
    <t>O208</t>
  </si>
  <si>
    <t>R4</t>
  </si>
  <si>
    <t>Products Table</t>
  </si>
  <si>
    <t>ProductName</t>
  </si>
  <si>
    <t>Category</t>
  </si>
  <si>
    <t>P101</t>
  </si>
  <si>
    <t>Refrigerator</t>
  </si>
  <si>
    <t>Appliances</t>
  </si>
  <si>
    <t>P102</t>
  </si>
  <si>
    <t>Washing Machine</t>
  </si>
  <si>
    <t>P103</t>
  </si>
  <si>
    <t>Air Conditioner</t>
  </si>
  <si>
    <t>Electronics</t>
  </si>
  <si>
    <t>P104</t>
  </si>
  <si>
    <t>LED TV</t>
  </si>
  <si>
    <t>West</t>
  </si>
  <si>
    <t>East</t>
  </si>
  <si>
    <t>South</t>
  </si>
  <si>
    <t>North</t>
  </si>
  <si>
    <t>RegionName</t>
  </si>
  <si>
    <t>Region Table</t>
  </si>
  <si>
    <t>Month</t>
  </si>
  <si>
    <t>Hour</t>
  </si>
  <si>
    <t>Weekday</t>
  </si>
  <si>
    <t>Vlookup</t>
  </si>
  <si>
    <t>Xlookup</t>
  </si>
  <si>
    <t>Row Labels</t>
  </si>
  <si>
    <t>Grand Total</t>
  </si>
  <si>
    <t>Sum of SalesAmount</t>
  </si>
  <si>
    <t>Product Wise Sales Report</t>
  </si>
  <si>
    <t>Category Wise Sales Report</t>
  </si>
  <si>
    <t>Region Wise Sales Report</t>
  </si>
  <si>
    <t>Product ID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</si>
</sst>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2" tint="-0.74999237037263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xf>
    <xf numFmtId="0" fontId="0" fillId="0" borderId="2" xfId="0" applyBorder="1" applyAlignment="1">
      <alignment horizontal="center" vertical="center" wrapText="1"/>
    </xf>
    <xf numFmtId="14" fontId="0" fillId="0" borderId="2" xfId="0" applyNumberFormat="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0" fontId="0" fillId="0" borderId="2" xfId="0" pivotButton="1" applyBorder="1" applyAlignment="1">
      <alignment horizontal="center"/>
    </xf>
    <xf numFmtId="0" fontId="0" fillId="0" borderId="2" xfId="0" applyNumberFormat="1" applyBorder="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3" borderId="0" xfId="0" applyFill="1"/>
  </cellXfs>
  <cellStyles count="1">
    <cellStyle name="Normal" xfId="0" builtinId="0"/>
  </cellStyles>
  <dxfs count="120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Pivot!$D$20</c:f>
              <c:strCache>
                <c:ptCount val="1"/>
                <c:pt idx="0">
                  <c:v>Total</c:v>
                </c:pt>
              </c:strCache>
            </c:strRef>
          </c:tx>
          <c:spPr>
            <a:solidFill>
              <a:schemeClr val="accent1"/>
            </a:solidFill>
            <a:ln>
              <a:noFill/>
            </a:ln>
            <a:effectLst/>
          </c:spPr>
          <c:invertIfNegative val="0"/>
          <c:cat>
            <c:strRef>
              <c:f>Pivot!$C$21:$C$25</c:f>
              <c:strCache>
                <c:ptCount val="4"/>
                <c:pt idx="0">
                  <c:v>Air Conditioner</c:v>
                </c:pt>
                <c:pt idx="1">
                  <c:v>LED TV</c:v>
                </c:pt>
                <c:pt idx="2">
                  <c:v>Refrigerator</c:v>
                </c:pt>
                <c:pt idx="3">
                  <c:v>Washing Machine</c:v>
                </c:pt>
              </c:strCache>
            </c:strRef>
          </c:cat>
          <c:val>
            <c:numRef>
              <c:f>Pivot!$D$21:$D$25</c:f>
              <c:numCache>
                <c:formatCode>General</c:formatCode>
                <c:ptCount val="4"/>
                <c:pt idx="0">
                  <c:v>42000</c:v>
                </c:pt>
                <c:pt idx="1">
                  <c:v>15000</c:v>
                </c:pt>
                <c:pt idx="2">
                  <c:v>22000</c:v>
                </c:pt>
                <c:pt idx="3">
                  <c:v>18000</c:v>
                </c:pt>
              </c:numCache>
            </c:numRef>
          </c:val>
          <c:extLst>
            <c:ext xmlns:c16="http://schemas.microsoft.com/office/drawing/2014/chart" uri="{C3380CC4-5D6E-409C-BE32-E72D297353CC}">
              <c16:uniqueId val="{00000000-83B4-49E3-A18B-1F90086DF1BF}"/>
            </c:ext>
          </c:extLst>
        </c:ser>
        <c:dLbls>
          <c:showLegendKey val="0"/>
          <c:showVal val="0"/>
          <c:showCatName val="0"/>
          <c:showSerName val="0"/>
          <c:showPercent val="0"/>
          <c:showBubbleSize val="0"/>
        </c:dLbls>
        <c:gapWidth val="219"/>
        <c:overlap val="-27"/>
        <c:axId val="2108004047"/>
        <c:axId val="2108005007"/>
      </c:barChart>
      <c:catAx>
        <c:axId val="210800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05007"/>
        <c:crosses val="autoZero"/>
        <c:auto val="1"/>
        <c:lblAlgn val="ctr"/>
        <c:lblOffset val="100"/>
        <c:noMultiLvlLbl val="0"/>
      </c:catAx>
      <c:valAx>
        <c:axId val="210800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0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Pivot!$I$20</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cat>
            <c:strRef>
              <c:f>Pivot!$H$21:$H$23</c:f>
              <c:strCache>
                <c:ptCount val="2"/>
                <c:pt idx="0">
                  <c:v>Appliances</c:v>
                </c:pt>
                <c:pt idx="1">
                  <c:v>Electronics</c:v>
                </c:pt>
              </c:strCache>
            </c:strRef>
          </c:cat>
          <c:val>
            <c:numRef>
              <c:f>Pivot!$I$21:$I$23</c:f>
              <c:numCache>
                <c:formatCode>General</c:formatCode>
                <c:ptCount val="2"/>
                <c:pt idx="0">
                  <c:v>40000</c:v>
                </c:pt>
                <c:pt idx="1">
                  <c:v>57000</c:v>
                </c:pt>
              </c:numCache>
            </c:numRef>
          </c:val>
          <c:extLst>
            <c:ext xmlns:c16="http://schemas.microsoft.com/office/drawing/2014/chart" uri="{C3380CC4-5D6E-409C-BE32-E72D297353CC}">
              <c16:uniqueId val="{00000000-C112-4573-B60B-2A7B250EAC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Pivot!$N$20</c:f>
              <c:strCache>
                <c:ptCount val="1"/>
                <c:pt idx="0">
                  <c:v>Total</c:v>
                </c:pt>
              </c:strCache>
            </c:strRef>
          </c:tx>
          <c:spPr>
            <a:solidFill>
              <a:schemeClr val="accent1"/>
            </a:solidFill>
            <a:ln>
              <a:noFill/>
            </a:ln>
            <a:effectLst/>
          </c:spPr>
          <c:invertIfNegative val="0"/>
          <c:cat>
            <c:strRef>
              <c:f>Pivot!$M$21:$M$25</c:f>
              <c:strCache>
                <c:ptCount val="4"/>
                <c:pt idx="0">
                  <c:v>East</c:v>
                </c:pt>
                <c:pt idx="1">
                  <c:v>North</c:v>
                </c:pt>
                <c:pt idx="2">
                  <c:v>South</c:v>
                </c:pt>
                <c:pt idx="3">
                  <c:v>West</c:v>
                </c:pt>
              </c:strCache>
            </c:strRef>
          </c:cat>
          <c:val>
            <c:numRef>
              <c:f>Pivot!$N$21:$N$25</c:f>
              <c:numCache>
                <c:formatCode>General</c:formatCode>
                <c:ptCount val="4"/>
                <c:pt idx="0">
                  <c:v>42000</c:v>
                </c:pt>
                <c:pt idx="1">
                  <c:v>22000</c:v>
                </c:pt>
                <c:pt idx="2">
                  <c:v>18000</c:v>
                </c:pt>
                <c:pt idx="3">
                  <c:v>15000</c:v>
                </c:pt>
              </c:numCache>
            </c:numRef>
          </c:val>
          <c:extLst>
            <c:ext xmlns:c16="http://schemas.microsoft.com/office/drawing/2014/chart" uri="{C3380CC4-5D6E-409C-BE32-E72D297353CC}">
              <c16:uniqueId val="{00000000-8E8E-4E05-9A99-079AFE200629}"/>
            </c:ext>
          </c:extLst>
        </c:ser>
        <c:dLbls>
          <c:showLegendKey val="0"/>
          <c:showVal val="0"/>
          <c:showCatName val="0"/>
          <c:showSerName val="0"/>
          <c:showPercent val="0"/>
          <c:showBubbleSize val="0"/>
        </c:dLbls>
        <c:gapWidth val="219"/>
        <c:axId val="2067659567"/>
        <c:axId val="2067662927"/>
      </c:barChart>
      <c:catAx>
        <c:axId val="206765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62927"/>
        <c:crosses val="autoZero"/>
        <c:auto val="1"/>
        <c:lblAlgn val="ctr"/>
        <c:lblOffset val="100"/>
        <c:noMultiLvlLbl val="0"/>
      </c:catAx>
      <c:valAx>
        <c:axId val="206766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5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Pivot!$S$20</c:f>
              <c:strCache>
                <c:ptCount val="1"/>
                <c:pt idx="0">
                  <c:v>Total</c:v>
                </c:pt>
              </c:strCache>
            </c:strRef>
          </c:tx>
          <c:spPr>
            <a:solidFill>
              <a:schemeClr val="accent1"/>
            </a:solidFill>
            <a:ln>
              <a:noFill/>
            </a:ln>
            <a:effectLst/>
            <a:sp3d/>
          </c:spPr>
          <c:cat>
            <c:strRef>
              <c:f>Pivot!$R$21:$R$25</c:f>
              <c:strCache>
                <c:ptCount val="4"/>
                <c:pt idx="0">
                  <c:v>P101</c:v>
                </c:pt>
                <c:pt idx="1">
                  <c:v>P102</c:v>
                </c:pt>
                <c:pt idx="2">
                  <c:v>P103</c:v>
                </c:pt>
                <c:pt idx="3">
                  <c:v>P104</c:v>
                </c:pt>
              </c:strCache>
            </c:strRef>
          </c:cat>
          <c:val>
            <c:numRef>
              <c:f>Pivot!$S$21:$S$25</c:f>
              <c:numCache>
                <c:formatCode>General</c:formatCode>
                <c:ptCount val="4"/>
                <c:pt idx="0">
                  <c:v>22000</c:v>
                </c:pt>
                <c:pt idx="1">
                  <c:v>18000</c:v>
                </c:pt>
                <c:pt idx="2">
                  <c:v>42000</c:v>
                </c:pt>
                <c:pt idx="3">
                  <c:v>15000</c:v>
                </c:pt>
              </c:numCache>
            </c:numRef>
          </c:val>
          <c:extLst>
            <c:ext xmlns:c16="http://schemas.microsoft.com/office/drawing/2014/chart" uri="{C3380CC4-5D6E-409C-BE32-E72D297353CC}">
              <c16:uniqueId val="{00000000-20FD-4155-9DF4-3D0D1DE2CD1C}"/>
            </c:ext>
          </c:extLst>
        </c:ser>
        <c:dLbls>
          <c:showLegendKey val="0"/>
          <c:showVal val="0"/>
          <c:showCatName val="0"/>
          <c:showSerName val="0"/>
          <c:showPercent val="0"/>
          <c:showBubbleSize val="0"/>
        </c:dLbls>
        <c:axId val="49842767"/>
        <c:axId val="49846607"/>
        <c:axId val="2111944863"/>
      </c:area3DChart>
      <c:catAx>
        <c:axId val="498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607"/>
        <c:crosses val="autoZero"/>
        <c:auto val="1"/>
        <c:lblAlgn val="ctr"/>
        <c:lblOffset val="100"/>
        <c:noMultiLvlLbl val="0"/>
      </c:catAx>
      <c:valAx>
        <c:axId val="4984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2767"/>
        <c:crosses val="autoZero"/>
        <c:crossBetween val="midCat"/>
      </c:valAx>
      <c:serAx>
        <c:axId val="211194486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46607"/>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Sales Report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Pivot!$C$21:$C$25</c:f>
              <c:strCache>
                <c:ptCount val="4"/>
                <c:pt idx="0">
                  <c:v>Air Conditioner</c:v>
                </c:pt>
                <c:pt idx="1">
                  <c:v>LED TV</c:v>
                </c:pt>
                <c:pt idx="2">
                  <c:v>Refrigerator</c:v>
                </c:pt>
                <c:pt idx="3">
                  <c:v>Washing Machine</c:v>
                </c:pt>
              </c:strCache>
            </c:strRef>
          </c:cat>
          <c:val>
            <c:numRef>
              <c:f>Pivot!$D$21:$D$25</c:f>
              <c:numCache>
                <c:formatCode>General</c:formatCode>
                <c:ptCount val="4"/>
                <c:pt idx="0">
                  <c:v>42000</c:v>
                </c:pt>
                <c:pt idx="1">
                  <c:v>15000</c:v>
                </c:pt>
                <c:pt idx="2">
                  <c:v>22000</c:v>
                </c:pt>
                <c:pt idx="3">
                  <c:v>18000</c:v>
                </c:pt>
              </c:numCache>
            </c:numRef>
          </c:val>
          <c:extLst>
            <c:ext xmlns:c16="http://schemas.microsoft.com/office/drawing/2014/chart" uri="{C3380CC4-5D6E-409C-BE32-E72D297353CC}">
              <c16:uniqueId val="{00000000-4008-411F-BF87-89DAB23533BA}"/>
            </c:ext>
          </c:extLst>
        </c:ser>
        <c:dLbls>
          <c:dLblPos val="outEnd"/>
          <c:showLegendKey val="0"/>
          <c:showVal val="1"/>
          <c:showCatName val="0"/>
          <c:showSerName val="0"/>
          <c:showPercent val="0"/>
          <c:showBubbleSize val="0"/>
        </c:dLbls>
        <c:gapWidth val="100"/>
        <c:overlap val="-24"/>
        <c:axId val="2108004047"/>
        <c:axId val="2108005007"/>
      </c:barChart>
      <c:catAx>
        <c:axId val="210800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005007"/>
        <c:crosses val="autoZero"/>
        <c:auto val="1"/>
        <c:lblAlgn val="ctr"/>
        <c:lblOffset val="100"/>
        <c:noMultiLvlLbl val="0"/>
      </c:catAx>
      <c:valAx>
        <c:axId val="2108005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00404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Sales Report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Pivot!$I$20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C6-4FC8-9DA6-989A78BC41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C6-4FC8-9DA6-989A78BC41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Pivot!$H$21:$H$23</c:f>
              <c:strCache>
                <c:ptCount val="2"/>
                <c:pt idx="0">
                  <c:v>Appliances</c:v>
                </c:pt>
                <c:pt idx="1">
                  <c:v>Electronics</c:v>
                </c:pt>
              </c:strCache>
            </c:strRef>
          </c:cat>
          <c:val>
            <c:numRef>
              <c:f>Pivot!$I$21:$I$23</c:f>
              <c:numCache>
                <c:formatCode>General</c:formatCode>
                <c:ptCount val="2"/>
                <c:pt idx="0">
                  <c:v>40000</c:v>
                </c:pt>
                <c:pt idx="1">
                  <c:v>57000</c:v>
                </c:pt>
              </c:numCache>
            </c:numRef>
          </c:val>
          <c:extLst>
            <c:ext xmlns:c16="http://schemas.microsoft.com/office/drawing/2014/chart" uri="{C3380CC4-5D6E-409C-BE32-E72D297353CC}">
              <c16:uniqueId val="{00000004-5FC6-4FC8-9DA6-989A78BC41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 Reportl</a:t>
            </a:r>
          </a:p>
        </c:rich>
      </c:tx>
      <c:layout>
        <c:manualLayout>
          <c:xMode val="edge"/>
          <c:yMode val="edge"/>
          <c:x val="0.18960041820498583"/>
          <c:y val="0.1057545383428742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Pivot!$M$21:$M$25</c:f>
              <c:strCache>
                <c:ptCount val="4"/>
                <c:pt idx="0">
                  <c:v>East</c:v>
                </c:pt>
                <c:pt idx="1">
                  <c:v>North</c:v>
                </c:pt>
                <c:pt idx="2">
                  <c:v>South</c:v>
                </c:pt>
                <c:pt idx="3">
                  <c:v>West</c:v>
                </c:pt>
              </c:strCache>
            </c:strRef>
          </c:cat>
          <c:val>
            <c:numRef>
              <c:f>Pivot!$N$21:$N$25</c:f>
              <c:numCache>
                <c:formatCode>General</c:formatCode>
                <c:ptCount val="4"/>
                <c:pt idx="0">
                  <c:v>42000</c:v>
                </c:pt>
                <c:pt idx="1">
                  <c:v>22000</c:v>
                </c:pt>
                <c:pt idx="2">
                  <c:v>18000</c:v>
                </c:pt>
                <c:pt idx="3">
                  <c:v>15000</c:v>
                </c:pt>
              </c:numCache>
            </c:numRef>
          </c:val>
          <c:extLst>
            <c:ext xmlns:c16="http://schemas.microsoft.com/office/drawing/2014/chart" uri="{C3380CC4-5D6E-409C-BE32-E72D297353CC}">
              <c16:uniqueId val="{00000000-5AAE-456E-ABCC-20EFD73299E0}"/>
            </c:ext>
          </c:extLst>
        </c:ser>
        <c:dLbls>
          <c:dLblPos val="outEnd"/>
          <c:showLegendKey val="0"/>
          <c:showVal val="1"/>
          <c:showCatName val="0"/>
          <c:showSerName val="0"/>
          <c:showPercent val="0"/>
          <c:showBubbleSize val="0"/>
        </c:dLbls>
        <c:gapWidth val="115"/>
        <c:overlap val="-20"/>
        <c:axId val="2067659567"/>
        <c:axId val="2067662927"/>
      </c:barChart>
      <c:catAx>
        <c:axId val="2067659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662927"/>
        <c:crosses val="autoZero"/>
        <c:auto val="1"/>
        <c:lblAlgn val="ctr"/>
        <c:lblOffset val="100"/>
        <c:noMultiLvlLbl val="0"/>
      </c:catAx>
      <c:valAx>
        <c:axId val="20676629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65956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[Coding challenge 3.xlsx]Pivot!PivotTable8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ID Sales Report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Pivot!$S$20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Pivot!$R$21:$R$25</c:f>
              <c:strCache>
                <c:ptCount val="4"/>
                <c:pt idx="0">
                  <c:v>P101</c:v>
                </c:pt>
                <c:pt idx="1">
                  <c:v>P102</c:v>
                </c:pt>
                <c:pt idx="2">
                  <c:v>P103</c:v>
                </c:pt>
                <c:pt idx="3">
                  <c:v>P104</c:v>
                </c:pt>
              </c:strCache>
            </c:strRef>
          </c:cat>
          <c:val>
            <c:numRef>
              <c:f>Pivot!$S$21:$S$25</c:f>
              <c:numCache>
                <c:formatCode>General</c:formatCode>
                <c:ptCount val="4"/>
                <c:pt idx="0">
                  <c:v>22000</c:v>
                </c:pt>
                <c:pt idx="1">
                  <c:v>18000</c:v>
                </c:pt>
                <c:pt idx="2">
                  <c:v>42000</c:v>
                </c:pt>
                <c:pt idx="3">
                  <c:v>15000</c:v>
                </c:pt>
              </c:numCache>
            </c:numRef>
          </c:val>
          <c:extLst>
            <c:ext xmlns:c16="http://schemas.microsoft.com/office/drawing/2014/chart" uri="{C3380CC4-5D6E-409C-BE32-E72D297353CC}">
              <c16:uniqueId val="{00000000-C536-4827-83BB-07C6E2AE322B}"/>
            </c:ext>
          </c:extLst>
        </c:ser>
        <c:dLbls>
          <c:showLegendKey val="0"/>
          <c:showVal val="1"/>
          <c:showCatName val="0"/>
          <c:showSerName val="0"/>
          <c:showPercent val="0"/>
          <c:showBubbleSize val="0"/>
        </c:dLbls>
        <c:axId val="49842767"/>
        <c:axId val="49846607"/>
        <c:axId val="2111944863"/>
      </c:area3DChart>
      <c:catAx>
        <c:axId val="4984276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46607"/>
        <c:crosses val="autoZero"/>
        <c:auto val="1"/>
        <c:lblAlgn val="ctr"/>
        <c:lblOffset val="100"/>
        <c:noMultiLvlLbl val="0"/>
      </c:catAx>
      <c:valAx>
        <c:axId val="498466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42767"/>
        <c:crosses val="autoZero"/>
        <c:crossBetween val="midCat"/>
      </c:valAx>
      <c:serAx>
        <c:axId val="211194486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846607"/>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601980</xdr:colOff>
      <xdr:row>2</xdr:row>
      <xdr:rowOff>171450</xdr:rowOff>
    </xdr:from>
    <xdr:to>
      <xdr:col>4</xdr:col>
      <xdr:colOff>601980</xdr:colOff>
      <xdr:row>17</xdr:row>
      <xdr:rowOff>175260</xdr:rowOff>
    </xdr:to>
    <xdr:graphicFrame macro="">
      <xdr:nvGraphicFramePr>
        <xdr:cNvPr id="2" name="Chart 1">
          <a:extLst>
            <a:ext uri="{FF2B5EF4-FFF2-40B4-BE49-F238E27FC236}">
              <a16:creationId xmlns:a16="http://schemas.microsoft.com/office/drawing/2014/main" id="{432ACC8B-9426-5135-C815-44CE26812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2</xdr:row>
      <xdr:rowOff>179070</xdr:rowOff>
    </xdr:from>
    <xdr:to>
      <xdr:col>9</xdr:col>
      <xdr:colOff>601980</xdr:colOff>
      <xdr:row>17</xdr:row>
      <xdr:rowOff>175260</xdr:rowOff>
    </xdr:to>
    <xdr:graphicFrame macro="">
      <xdr:nvGraphicFramePr>
        <xdr:cNvPr id="3" name="Chart 2">
          <a:extLst>
            <a:ext uri="{FF2B5EF4-FFF2-40B4-BE49-F238E27FC236}">
              <a16:creationId xmlns:a16="http://schemas.microsoft.com/office/drawing/2014/main" id="{70F0F4F8-97EF-4B8E-3A93-5E5B48A11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2</xdr:row>
      <xdr:rowOff>179070</xdr:rowOff>
    </xdr:from>
    <xdr:to>
      <xdr:col>15</xdr:col>
      <xdr:colOff>7620</xdr:colOff>
      <xdr:row>18</xdr:row>
      <xdr:rowOff>0</xdr:rowOff>
    </xdr:to>
    <xdr:graphicFrame macro="">
      <xdr:nvGraphicFramePr>
        <xdr:cNvPr id="4" name="Chart 3">
          <a:extLst>
            <a:ext uri="{FF2B5EF4-FFF2-40B4-BE49-F238E27FC236}">
              <a16:creationId xmlns:a16="http://schemas.microsoft.com/office/drawing/2014/main" id="{58FB0206-03E6-0C5B-2090-E9AE56C13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xdr:colOff>
      <xdr:row>2</xdr:row>
      <xdr:rowOff>163830</xdr:rowOff>
    </xdr:from>
    <xdr:to>
      <xdr:col>19</xdr:col>
      <xdr:colOff>601980</xdr:colOff>
      <xdr:row>17</xdr:row>
      <xdr:rowOff>175260</xdr:rowOff>
    </xdr:to>
    <xdr:graphicFrame macro="">
      <xdr:nvGraphicFramePr>
        <xdr:cNvPr id="7" name="Chart 6">
          <a:extLst>
            <a:ext uri="{FF2B5EF4-FFF2-40B4-BE49-F238E27FC236}">
              <a16:creationId xmlns:a16="http://schemas.microsoft.com/office/drawing/2014/main" id="{F65BB68E-8FE6-64AE-C6F0-F93E59D1D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15240</xdr:rowOff>
    </xdr:from>
    <xdr:to>
      <xdr:col>0</xdr:col>
      <xdr:colOff>1798320</xdr:colOff>
      <xdr:row>10</xdr:row>
      <xdr:rowOff>7620</xdr:rowOff>
    </xdr:to>
    <mc:AlternateContent xmlns:mc="http://schemas.openxmlformats.org/markup-compatibility/2006">
      <mc:Choice xmlns:a14="http://schemas.microsoft.com/office/drawing/2010/main" Requires="a14">
        <xdr:graphicFrame macro="">
          <xdr:nvGraphicFramePr>
            <xdr:cNvPr id="2" name="ProductID">
              <a:extLst>
                <a:ext uri="{FF2B5EF4-FFF2-40B4-BE49-F238E27FC236}">
                  <a16:creationId xmlns:a16="http://schemas.microsoft.com/office/drawing/2014/main" id="{8A86CB62-4C71-4B16-9205-52C1F3155708}"/>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dr:sp macro="" textlink="">
          <xdr:nvSpPr>
            <xdr:cNvPr id="0" name=""/>
            <xdr:cNvSpPr>
              <a:spLocks noTextEdit="1"/>
            </xdr:cNvSpPr>
          </xdr:nvSpPr>
          <xdr:spPr>
            <a:xfrm>
              <a:off x="0" y="929640"/>
              <a:ext cx="179832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38100</xdr:rowOff>
    </xdr:from>
    <xdr:to>
      <xdr:col>0</xdr:col>
      <xdr:colOff>1798320</xdr:colOff>
      <xdr:row>15</xdr:row>
      <xdr:rowOff>45719</xdr:rowOff>
    </xdr:to>
    <mc:AlternateContent xmlns:mc="http://schemas.openxmlformats.org/markup-compatibility/2006">
      <mc:Choice xmlns:a14="http://schemas.microsoft.com/office/drawing/2010/main" Requires="a14">
        <xdr:graphicFrame macro="">
          <xdr:nvGraphicFramePr>
            <xdr:cNvPr id="3" name="RegionName">
              <a:extLst>
                <a:ext uri="{FF2B5EF4-FFF2-40B4-BE49-F238E27FC236}">
                  <a16:creationId xmlns:a16="http://schemas.microsoft.com/office/drawing/2014/main" id="{13B39BCE-5D87-4ACE-B28E-BA78DC223C98}"/>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dr:sp macro="" textlink="">
          <xdr:nvSpPr>
            <xdr:cNvPr id="0" name=""/>
            <xdr:cNvSpPr>
              <a:spLocks noTextEdit="1"/>
            </xdr:cNvSpPr>
          </xdr:nvSpPr>
          <xdr:spPr>
            <a:xfrm>
              <a:off x="0" y="1866900"/>
              <a:ext cx="179832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xdr:colOff>
      <xdr:row>0</xdr:row>
      <xdr:rowOff>45720</xdr:rowOff>
    </xdr:from>
    <xdr:to>
      <xdr:col>10</xdr:col>
      <xdr:colOff>297180</xdr:colOff>
      <xdr:row>16</xdr:row>
      <xdr:rowOff>60960</xdr:rowOff>
    </xdr:to>
    <xdr:graphicFrame macro="">
      <xdr:nvGraphicFramePr>
        <xdr:cNvPr id="4" name="Chart 3">
          <a:extLst>
            <a:ext uri="{FF2B5EF4-FFF2-40B4-BE49-F238E27FC236}">
              <a16:creationId xmlns:a16="http://schemas.microsoft.com/office/drawing/2014/main" id="{4A5DF59C-0CA7-4927-A4B3-C071A37AC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335280</xdr:colOff>
      <xdr:row>0</xdr:row>
      <xdr:rowOff>53340</xdr:rowOff>
    </xdr:from>
    <xdr:to>
      <xdr:col>20</xdr:col>
      <xdr:colOff>510540</xdr:colOff>
      <xdr:row>16</xdr:row>
      <xdr:rowOff>68580</xdr:rowOff>
    </xdr:to>
    <xdr:graphicFrame macro="">
      <xdr:nvGraphicFramePr>
        <xdr:cNvPr id="5" name="Chart 4">
          <a:extLst>
            <a:ext uri="{FF2B5EF4-FFF2-40B4-BE49-F238E27FC236}">
              <a16:creationId xmlns:a16="http://schemas.microsoft.com/office/drawing/2014/main" id="{F845FE50-752C-4D5B-874E-06FC7CD46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53340</xdr:colOff>
      <xdr:row>16</xdr:row>
      <xdr:rowOff>99060</xdr:rowOff>
    </xdr:from>
    <xdr:to>
      <xdr:col>10</xdr:col>
      <xdr:colOff>297180</xdr:colOff>
      <xdr:row>32</xdr:row>
      <xdr:rowOff>7620</xdr:rowOff>
    </xdr:to>
    <xdr:graphicFrame macro="">
      <xdr:nvGraphicFramePr>
        <xdr:cNvPr id="6" name="Chart 5">
          <a:extLst>
            <a:ext uri="{FF2B5EF4-FFF2-40B4-BE49-F238E27FC236}">
              <a16:creationId xmlns:a16="http://schemas.microsoft.com/office/drawing/2014/main" id="{AAC4E2FE-EC77-44E1-A12E-273C4414A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342900</xdr:colOff>
      <xdr:row>16</xdr:row>
      <xdr:rowOff>106680</xdr:rowOff>
    </xdr:from>
    <xdr:to>
      <xdr:col>20</xdr:col>
      <xdr:colOff>495300</xdr:colOff>
      <xdr:row>32</xdr:row>
      <xdr:rowOff>15240</xdr:rowOff>
    </xdr:to>
    <xdr:graphicFrame macro="">
      <xdr:nvGraphicFramePr>
        <xdr:cNvPr id="7" name="Chart 6">
          <a:extLst>
            <a:ext uri="{FF2B5EF4-FFF2-40B4-BE49-F238E27FC236}">
              <a16:creationId xmlns:a16="http://schemas.microsoft.com/office/drawing/2014/main" id="{AE62FE53-620A-4AE8-8014-0B692E298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bin" refreshedDate="46059.713483101848" createdVersion="8" refreshedVersion="8" minRefreshableVersion="3" recordCount="4" xr:uid="{CFD359B7-433D-4658-828D-F448C878D708}">
  <cacheSource type="worksheet">
    <worksheetSource ref="A1:F5" sheet="Lookup"/>
  </cacheSource>
  <cacheFields count="6">
    <cacheField name="RegionID" numFmtId="0">
      <sharedItems/>
    </cacheField>
    <cacheField name="RegionName" numFmtId="0">
      <sharedItems count="4">
        <s v="North"/>
        <s v="South"/>
        <s v="East"/>
        <s v="West"/>
      </sharedItems>
    </cacheField>
    <cacheField name="SalesAmount" numFmtId="0">
      <sharedItems containsSemiMixedTypes="0" containsString="0" containsNumber="1" containsInteger="1" minValue="15000" maxValue="42000"/>
    </cacheField>
    <cacheField name="ProductID" numFmtId="0">
      <sharedItems count="4">
        <s v="P101"/>
        <s v="P102"/>
        <s v="P103"/>
        <s v="P104"/>
      </sharedItems>
    </cacheField>
    <cacheField name="ProductName" numFmtId="0">
      <sharedItems count="4">
        <s v="Refrigerator"/>
        <s v="Washing Machine"/>
        <s v="Air Conditioner"/>
        <s v="LED TV"/>
      </sharedItems>
    </cacheField>
    <cacheField name="Category" numFmtId="0">
      <sharedItems count="2">
        <s v="Appliances"/>
        <s v="Electronics"/>
      </sharedItems>
    </cacheField>
  </cacheFields>
  <extLst>
    <ext xmlns:x14="http://schemas.microsoft.com/office/spreadsheetml/2009/9/main" uri="{725AE2AE-9491-48be-B2B4-4EB974FC3084}">
      <x14:pivotCacheDefinition pivotCacheId="482936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R1"/>
    <x v="0"/>
    <n v="22000"/>
    <x v="0"/>
    <x v="0"/>
    <x v="0"/>
  </r>
  <r>
    <s v="R2"/>
    <x v="1"/>
    <n v="18000"/>
    <x v="1"/>
    <x v="1"/>
    <x v="0"/>
  </r>
  <r>
    <s v="R3"/>
    <x v="2"/>
    <n v="42000"/>
    <x v="2"/>
    <x v="2"/>
    <x v="1"/>
  </r>
  <r>
    <s v="R4"/>
    <x v="3"/>
    <n v="15000"/>
    <x v="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DE5B7-F18B-43F6-84C1-5916E464ED40}"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20:S25" firstHeaderRow="1" firstDataRow="1" firstDataCol="1"/>
  <pivotFields count="6">
    <pivotField showAll="0"/>
    <pivotField showAll="0">
      <items count="5">
        <item x="2"/>
        <item x="0"/>
        <item x="1"/>
        <item x="3"/>
        <item t="default"/>
      </items>
    </pivotField>
    <pivotField dataField="1" showAll="0"/>
    <pivotField axis="axisRow" showAll="0">
      <items count="5">
        <item x="0"/>
        <item x="1"/>
        <item x="2"/>
        <item x="3"/>
        <item t="default"/>
      </items>
    </pivotField>
    <pivotField showAll="0"/>
    <pivotField showAll="0"/>
  </pivotFields>
  <rowFields count="1">
    <field x="3"/>
  </rowFields>
  <rowItems count="5">
    <i>
      <x/>
    </i>
    <i>
      <x v="1"/>
    </i>
    <i>
      <x v="2"/>
    </i>
    <i>
      <x v="3"/>
    </i>
    <i t="grand">
      <x/>
    </i>
  </rowItems>
  <colItems count="1">
    <i/>
  </colItems>
  <dataFields count="1">
    <dataField name="Sum of SalesAmount" fld="2" baseField="0" baseItem="0"/>
  </dataFields>
  <formats count="12">
    <format dxfId="1164">
      <pivotArea type="all" dataOnly="0" outline="0" fieldPosition="0"/>
    </format>
    <format dxfId="1163">
      <pivotArea outline="0" collapsedLevelsAreSubtotals="1" fieldPosition="0"/>
    </format>
    <format dxfId="1162">
      <pivotArea field="3" type="button" dataOnly="0" labelOnly="1" outline="0" axis="axisRow" fieldPosition="0"/>
    </format>
    <format dxfId="1161">
      <pivotArea dataOnly="0" labelOnly="1" fieldPosition="0">
        <references count="1">
          <reference field="3" count="0"/>
        </references>
      </pivotArea>
    </format>
    <format dxfId="1160">
      <pivotArea dataOnly="0" labelOnly="1" grandRow="1" outline="0" fieldPosition="0"/>
    </format>
    <format dxfId="1159">
      <pivotArea dataOnly="0" labelOnly="1" outline="0" axis="axisValues" fieldPosition="0"/>
    </format>
    <format dxfId="1158">
      <pivotArea type="all" dataOnly="0" outline="0" fieldPosition="0"/>
    </format>
    <format dxfId="1157">
      <pivotArea outline="0" collapsedLevelsAreSubtotals="1" fieldPosition="0"/>
    </format>
    <format dxfId="1156">
      <pivotArea field="3" type="button" dataOnly="0" labelOnly="1" outline="0" axis="axisRow" fieldPosition="0"/>
    </format>
    <format dxfId="1155">
      <pivotArea dataOnly="0" labelOnly="1" fieldPosition="0">
        <references count="1">
          <reference field="3" count="0"/>
        </references>
      </pivotArea>
    </format>
    <format dxfId="1154">
      <pivotArea dataOnly="0" labelOnly="1" grandRow="1" outline="0" fieldPosition="0"/>
    </format>
    <format dxfId="11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734DC-82C0-4923-AC64-7BF1F8B97ED2}"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0:N25" firstHeaderRow="1" firstDataRow="1" firstDataCol="1"/>
  <pivotFields count="6">
    <pivotField showAll="0"/>
    <pivotField axis="axisRow" showAll="0">
      <items count="5">
        <item x="2"/>
        <item x="0"/>
        <item x="1"/>
        <item x="3"/>
        <item t="default"/>
      </items>
    </pivotField>
    <pivotField dataField="1" showAll="0"/>
    <pivotField showAll="0">
      <items count="5">
        <item x="0"/>
        <item x="1"/>
        <item x="2"/>
        <item x="3"/>
        <item t="default"/>
      </items>
    </pivotField>
    <pivotField showAll="0"/>
    <pivotField showAll="0"/>
  </pivotFields>
  <rowFields count="1">
    <field x="1"/>
  </rowFields>
  <rowItems count="5">
    <i>
      <x/>
    </i>
    <i>
      <x v="1"/>
    </i>
    <i>
      <x v="2"/>
    </i>
    <i>
      <x v="3"/>
    </i>
    <i t="grand">
      <x/>
    </i>
  </rowItems>
  <colItems count="1">
    <i/>
  </colItems>
  <dataFields count="1">
    <dataField name="Sum of SalesAmount" fld="2" baseField="0" baseItem="0"/>
  </dataFields>
  <formats count="12">
    <format dxfId="1176">
      <pivotArea type="all" dataOnly="0" outline="0" fieldPosition="0"/>
    </format>
    <format dxfId="1175">
      <pivotArea outline="0" collapsedLevelsAreSubtotals="1" fieldPosition="0"/>
    </format>
    <format dxfId="1174">
      <pivotArea field="1" type="button" dataOnly="0" labelOnly="1" outline="0" axis="axisRow" fieldPosition="0"/>
    </format>
    <format dxfId="1173">
      <pivotArea dataOnly="0" labelOnly="1" fieldPosition="0">
        <references count="1">
          <reference field="1" count="0"/>
        </references>
      </pivotArea>
    </format>
    <format dxfId="1172">
      <pivotArea dataOnly="0" labelOnly="1" grandRow="1" outline="0" fieldPosition="0"/>
    </format>
    <format dxfId="1171">
      <pivotArea dataOnly="0" labelOnly="1" outline="0" axis="axisValues" fieldPosition="0"/>
    </format>
    <format dxfId="1170">
      <pivotArea type="all" dataOnly="0" outline="0" fieldPosition="0"/>
    </format>
    <format dxfId="1169">
      <pivotArea outline="0" collapsedLevelsAreSubtotals="1" fieldPosition="0"/>
    </format>
    <format dxfId="1168">
      <pivotArea field="1" type="button" dataOnly="0" labelOnly="1" outline="0" axis="axisRow" fieldPosition="0"/>
    </format>
    <format dxfId="1167">
      <pivotArea dataOnly="0" labelOnly="1" fieldPosition="0">
        <references count="1">
          <reference field="1" count="0"/>
        </references>
      </pivotArea>
    </format>
    <format dxfId="1166">
      <pivotArea dataOnly="0" labelOnly="1" grandRow="1" outline="0" fieldPosition="0"/>
    </format>
    <format dxfId="116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C7F234-3E99-4875-B978-A332AAE7F711}"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0:I23" firstHeaderRow="1" firstDataRow="1" firstDataCol="1"/>
  <pivotFields count="6">
    <pivotField showAll="0"/>
    <pivotField showAll="0">
      <items count="5">
        <item x="2"/>
        <item x="0"/>
        <item x="1"/>
        <item x="3"/>
        <item t="default"/>
      </items>
    </pivotField>
    <pivotField dataField="1" showAll="0"/>
    <pivotField showAll="0">
      <items count="5">
        <item x="0"/>
        <item x="1"/>
        <item x="2"/>
        <item x="3"/>
        <item t="default"/>
      </items>
    </pivotField>
    <pivotField showAll="0"/>
    <pivotField axis="axisRow" showAll="0">
      <items count="3">
        <item x="0"/>
        <item x="1"/>
        <item t="default"/>
      </items>
    </pivotField>
  </pivotFields>
  <rowFields count="1">
    <field x="5"/>
  </rowFields>
  <rowItems count="3">
    <i>
      <x/>
    </i>
    <i>
      <x v="1"/>
    </i>
    <i t="grand">
      <x/>
    </i>
  </rowItems>
  <colItems count="1">
    <i/>
  </colItems>
  <dataFields count="1">
    <dataField name="Sum of SalesAmount" fld="2" baseField="0" baseItem="0"/>
  </dataFields>
  <formats count="12">
    <format dxfId="1188">
      <pivotArea type="all" dataOnly="0" outline="0" fieldPosition="0"/>
    </format>
    <format dxfId="1187">
      <pivotArea outline="0" collapsedLevelsAreSubtotals="1" fieldPosition="0"/>
    </format>
    <format dxfId="1186">
      <pivotArea field="5" type="button" dataOnly="0" labelOnly="1" outline="0" axis="axisRow" fieldPosition="0"/>
    </format>
    <format dxfId="1185">
      <pivotArea dataOnly="0" labelOnly="1" fieldPosition="0">
        <references count="1">
          <reference field="5" count="0"/>
        </references>
      </pivotArea>
    </format>
    <format dxfId="1184">
      <pivotArea dataOnly="0" labelOnly="1" grandRow="1" outline="0" fieldPosition="0"/>
    </format>
    <format dxfId="1183">
      <pivotArea dataOnly="0" labelOnly="1" outline="0" axis="axisValues" fieldPosition="0"/>
    </format>
    <format dxfId="1182">
      <pivotArea type="all" dataOnly="0" outline="0" fieldPosition="0"/>
    </format>
    <format dxfId="1181">
      <pivotArea outline="0" collapsedLevelsAreSubtotals="1" fieldPosition="0"/>
    </format>
    <format dxfId="1180">
      <pivotArea field="5" type="button" dataOnly="0" labelOnly="1" outline="0" axis="axisRow" fieldPosition="0"/>
    </format>
    <format dxfId="1179">
      <pivotArea dataOnly="0" labelOnly="1" fieldPosition="0">
        <references count="1">
          <reference field="5" count="0"/>
        </references>
      </pivotArea>
    </format>
    <format dxfId="1178">
      <pivotArea dataOnly="0" labelOnly="1" grandRow="1" outline="0" fieldPosition="0"/>
    </format>
    <format dxfId="117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D7550D-60DA-4EDD-AE9E-E8C1E5C38139}"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0:D25" firstHeaderRow="1" firstDataRow="1" firstDataCol="1"/>
  <pivotFields count="6">
    <pivotField showAll="0"/>
    <pivotField showAll="0">
      <items count="5">
        <item x="2"/>
        <item x="0"/>
        <item x="1"/>
        <item x="3"/>
        <item t="default"/>
      </items>
    </pivotField>
    <pivotField dataField="1" showAll="0"/>
    <pivotField showAll="0">
      <items count="5">
        <item x="0"/>
        <item x="1"/>
        <item x="2"/>
        <item x="3"/>
        <item t="default"/>
      </items>
    </pivotField>
    <pivotField axis="axisRow" showAll="0">
      <items count="5">
        <item x="2"/>
        <item x="3"/>
        <item x="0"/>
        <item x="1"/>
        <item t="default"/>
      </items>
    </pivotField>
    <pivotField showAll="0"/>
  </pivotFields>
  <rowFields count="1">
    <field x="4"/>
  </rowFields>
  <rowItems count="5">
    <i>
      <x/>
    </i>
    <i>
      <x v="1"/>
    </i>
    <i>
      <x v="2"/>
    </i>
    <i>
      <x v="3"/>
    </i>
    <i t="grand">
      <x/>
    </i>
  </rowItems>
  <colItems count="1">
    <i/>
  </colItems>
  <dataFields count="1">
    <dataField name="Sum of SalesAmount" fld="2" baseField="0" baseItem="0"/>
  </dataFields>
  <formats count="12">
    <format dxfId="1200">
      <pivotArea type="all" dataOnly="0" outline="0" fieldPosition="0"/>
    </format>
    <format dxfId="1199">
      <pivotArea outline="0" collapsedLevelsAreSubtotals="1" fieldPosition="0"/>
    </format>
    <format dxfId="1198">
      <pivotArea field="4" type="button" dataOnly="0" labelOnly="1" outline="0" axis="axisRow" fieldPosition="0"/>
    </format>
    <format dxfId="1197">
      <pivotArea dataOnly="0" labelOnly="1" fieldPosition="0">
        <references count="1">
          <reference field="4" count="0"/>
        </references>
      </pivotArea>
    </format>
    <format dxfId="1196">
      <pivotArea dataOnly="0" labelOnly="1" grandRow="1" outline="0" fieldPosition="0"/>
    </format>
    <format dxfId="1195">
      <pivotArea dataOnly="0" labelOnly="1" outline="0" axis="axisValues" fieldPosition="0"/>
    </format>
    <format dxfId="1194">
      <pivotArea type="all" dataOnly="0" outline="0" fieldPosition="0"/>
    </format>
    <format dxfId="1193">
      <pivotArea outline="0" collapsedLevelsAreSubtotals="1" fieldPosition="0"/>
    </format>
    <format dxfId="1192">
      <pivotArea field="4" type="button" dataOnly="0" labelOnly="1" outline="0" axis="axisRow" fieldPosition="0"/>
    </format>
    <format dxfId="1191">
      <pivotArea dataOnly="0" labelOnly="1" fieldPosition="0">
        <references count="1">
          <reference field="4" count="0"/>
        </references>
      </pivotArea>
    </format>
    <format dxfId="1190">
      <pivotArea dataOnly="0" labelOnly="1" grandRow="1" outline="0" fieldPosition="0"/>
    </format>
    <format dxfId="118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6170F7EF-BAAA-4BA2-A1FA-4FDB34EE95E4}" sourceName="ProductID">
  <pivotTables>
    <pivotTable tabId="4" name="PivotTable6"/>
    <pivotTable tabId="4" name="PivotTable5"/>
    <pivotTable tabId="4" name="PivotTable7"/>
    <pivotTable tabId="4" name="PivotTable8"/>
  </pivotTables>
  <data>
    <tabular pivotCacheId="48293689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C41A9829-74F2-4AD4-B2A1-621A09D643B1}" sourceName="RegionName">
  <pivotTables>
    <pivotTable tabId="4" name="PivotTable7"/>
    <pivotTable tabId="4" name="PivotTable5"/>
    <pivotTable tabId="4" name="PivotTable6"/>
    <pivotTable tabId="4" name="PivotTable8"/>
  </pivotTables>
  <data>
    <tabular pivotCacheId="48293689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D" xr10:uid="{2EA94C40-AE37-4EBB-8E6F-227543F2D2F4}" cache="Slicer_ProductID" caption="ProductID" columnCount="2" style="SlicerStyleOther1" rowHeight="247650"/>
  <slicer name="RegionName" xr10:uid="{04108F48-4394-4707-9B37-C92221D1F089}" cache="Slicer_RegionName" caption="RegionName" columnCount="2"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E9-E9E3-4AAB-B15C-BD526E638713}">
  <dimension ref="A1:L22"/>
  <sheetViews>
    <sheetView tabSelected="1" workbookViewId="0">
      <selection activeCell="G26" sqref="G26"/>
    </sheetView>
  </sheetViews>
  <sheetFormatPr defaultRowHeight="14.4" x14ac:dyDescent="0.3"/>
  <cols>
    <col min="2" max="2" width="18.44140625" customWidth="1"/>
    <col min="3" max="3" width="15.6640625" customWidth="1"/>
    <col min="4" max="4" width="16" customWidth="1"/>
    <col min="5" max="5" width="11.33203125" customWidth="1"/>
    <col min="7" max="7" width="14.5546875" customWidth="1"/>
    <col min="10" max="10" width="16.6640625" customWidth="1"/>
    <col min="11" max="11" width="17.5546875" customWidth="1"/>
    <col min="12" max="12" width="14.88671875" customWidth="1"/>
  </cols>
  <sheetData>
    <row r="1" spans="1:12" x14ac:dyDescent="0.3">
      <c r="A1" s="1" t="s">
        <v>0</v>
      </c>
      <c r="B1" s="2"/>
      <c r="C1" s="2"/>
      <c r="D1" s="2"/>
      <c r="E1" s="2"/>
      <c r="F1" s="2"/>
      <c r="G1" s="2"/>
      <c r="J1" s="1" t="s">
        <v>24</v>
      </c>
      <c r="K1" s="1"/>
      <c r="L1" s="1"/>
    </row>
    <row r="2" spans="1:12" x14ac:dyDescent="0.3">
      <c r="A2" s="3" t="s">
        <v>1</v>
      </c>
      <c r="B2" s="4" t="s">
        <v>2</v>
      </c>
      <c r="C2" s="4" t="s">
        <v>3</v>
      </c>
      <c r="D2" s="3" t="s">
        <v>4</v>
      </c>
      <c r="E2" s="3" t="s">
        <v>5</v>
      </c>
      <c r="F2" s="3" t="s">
        <v>6</v>
      </c>
      <c r="G2" s="3" t="s">
        <v>7</v>
      </c>
      <c r="J2" s="3" t="s">
        <v>4</v>
      </c>
      <c r="K2" s="3" t="s">
        <v>25</v>
      </c>
      <c r="L2" s="3" t="s">
        <v>26</v>
      </c>
    </row>
    <row r="3" spans="1:12" x14ac:dyDescent="0.3">
      <c r="A3" s="5" t="s">
        <v>8</v>
      </c>
      <c r="B3" s="6">
        <v>45293</v>
      </c>
      <c r="C3" s="7">
        <v>0.17708333333333334</v>
      </c>
      <c r="D3" s="5" t="s">
        <v>9</v>
      </c>
      <c r="E3" s="5" t="s">
        <v>10</v>
      </c>
      <c r="F3" s="5">
        <v>2</v>
      </c>
      <c r="G3" s="5">
        <v>22000</v>
      </c>
      <c r="J3" s="5" t="s">
        <v>27</v>
      </c>
      <c r="K3" s="5" t="s">
        <v>28</v>
      </c>
      <c r="L3" s="5" t="s">
        <v>29</v>
      </c>
    </row>
    <row r="4" spans="1:12" x14ac:dyDescent="0.3">
      <c r="A4" s="5" t="s">
        <v>11</v>
      </c>
      <c r="B4" s="6">
        <v>45293</v>
      </c>
      <c r="C4" s="7">
        <v>0.36458333333333331</v>
      </c>
      <c r="D4" s="5" t="s">
        <v>12</v>
      </c>
      <c r="E4" s="5" t="s">
        <v>13</v>
      </c>
      <c r="F4" s="5">
        <v>1</v>
      </c>
      <c r="G4" s="5">
        <v>18000</v>
      </c>
      <c r="J4" s="5" t="s">
        <v>30</v>
      </c>
      <c r="K4" s="5" t="s">
        <v>31</v>
      </c>
      <c r="L4" s="5" t="s">
        <v>29</v>
      </c>
    </row>
    <row r="5" spans="1:12" x14ac:dyDescent="0.3">
      <c r="A5" s="5" t="s">
        <v>14</v>
      </c>
      <c r="B5" s="6">
        <v>45296</v>
      </c>
      <c r="C5" s="7">
        <v>0.47916666666666669</v>
      </c>
      <c r="D5" s="5" t="s">
        <v>15</v>
      </c>
      <c r="E5" s="5" t="s">
        <v>16</v>
      </c>
      <c r="F5" s="5">
        <v>3</v>
      </c>
      <c r="G5" s="5">
        <v>42000</v>
      </c>
      <c r="J5" s="5" t="s">
        <v>32</v>
      </c>
      <c r="K5" s="5" t="s">
        <v>33</v>
      </c>
      <c r="L5" s="5" t="s">
        <v>34</v>
      </c>
    </row>
    <row r="6" spans="1:12" x14ac:dyDescent="0.3">
      <c r="A6" s="5" t="s">
        <v>17</v>
      </c>
      <c r="B6" s="6">
        <v>45298</v>
      </c>
      <c r="C6" s="7">
        <v>9.0277777777777776E-2</v>
      </c>
      <c r="D6" s="5" t="s">
        <v>18</v>
      </c>
      <c r="E6" s="5" t="s">
        <v>10</v>
      </c>
      <c r="F6" s="5">
        <v>1</v>
      </c>
      <c r="G6" s="5">
        <v>15000</v>
      </c>
      <c r="J6" s="5" t="s">
        <v>35</v>
      </c>
      <c r="K6" s="5" t="s">
        <v>36</v>
      </c>
      <c r="L6" s="5" t="s">
        <v>34</v>
      </c>
    </row>
    <row r="7" spans="1:12" x14ac:dyDescent="0.3">
      <c r="A7" s="5" t="s">
        <v>19</v>
      </c>
      <c r="B7" s="6">
        <v>45325</v>
      </c>
      <c r="C7" s="7">
        <v>0.40277777777777779</v>
      </c>
      <c r="D7" s="5" t="s">
        <v>9</v>
      </c>
      <c r="E7" s="5" t="s">
        <v>13</v>
      </c>
      <c r="F7" s="5">
        <v>1</v>
      </c>
      <c r="G7" s="5">
        <v>11000</v>
      </c>
    </row>
    <row r="8" spans="1:12" x14ac:dyDescent="0.3">
      <c r="A8" s="5" t="s">
        <v>20</v>
      </c>
      <c r="B8" s="6">
        <v>45328</v>
      </c>
      <c r="C8" s="7">
        <v>0.3298611111111111</v>
      </c>
      <c r="D8" s="5" t="s">
        <v>12</v>
      </c>
      <c r="E8" s="5" t="s">
        <v>16</v>
      </c>
      <c r="F8" s="5">
        <v>2</v>
      </c>
      <c r="G8" s="5">
        <v>36000</v>
      </c>
    </row>
    <row r="9" spans="1:12" x14ac:dyDescent="0.3">
      <c r="A9" s="5" t="s">
        <v>21</v>
      </c>
      <c r="B9" s="6">
        <v>45331</v>
      </c>
      <c r="C9" s="7">
        <v>9.7222222222222224E-2</v>
      </c>
      <c r="D9" s="5" t="s">
        <v>15</v>
      </c>
      <c r="E9" s="5" t="s">
        <v>10</v>
      </c>
      <c r="F9" s="5">
        <v>1</v>
      </c>
      <c r="G9" s="5">
        <v>14000</v>
      </c>
    </row>
    <row r="10" spans="1:12" x14ac:dyDescent="0.3">
      <c r="A10" s="5" t="s">
        <v>22</v>
      </c>
      <c r="B10" s="6">
        <v>45336</v>
      </c>
      <c r="C10" s="7">
        <v>6.5972222222222224E-2</v>
      </c>
      <c r="D10" s="5" t="s">
        <v>18</v>
      </c>
      <c r="E10" s="5" t="s">
        <v>23</v>
      </c>
      <c r="F10" s="5">
        <v>2</v>
      </c>
      <c r="G10" s="5">
        <v>26000</v>
      </c>
    </row>
    <row r="17" spans="1:3" x14ac:dyDescent="0.3">
      <c r="A17" s="2" t="s">
        <v>42</v>
      </c>
      <c r="B17" s="2"/>
      <c r="C17" s="2"/>
    </row>
    <row r="18" spans="1:3" x14ac:dyDescent="0.3">
      <c r="A18" s="3" t="s">
        <v>5</v>
      </c>
      <c r="B18" s="3" t="s">
        <v>41</v>
      </c>
      <c r="C18" s="3" t="s">
        <v>7</v>
      </c>
    </row>
    <row r="19" spans="1:3" x14ac:dyDescent="0.3">
      <c r="A19" s="5" t="s">
        <v>10</v>
      </c>
      <c r="B19" s="5" t="s">
        <v>40</v>
      </c>
      <c r="C19" s="5">
        <v>22000</v>
      </c>
    </row>
    <row r="20" spans="1:3" x14ac:dyDescent="0.3">
      <c r="A20" s="5" t="s">
        <v>13</v>
      </c>
      <c r="B20" s="5" t="s">
        <v>39</v>
      </c>
      <c r="C20" s="5">
        <v>18000</v>
      </c>
    </row>
    <row r="21" spans="1:3" x14ac:dyDescent="0.3">
      <c r="A21" s="5" t="s">
        <v>16</v>
      </c>
      <c r="B21" s="5" t="s">
        <v>38</v>
      </c>
      <c r="C21" s="5">
        <v>42000</v>
      </c>
    </row>
    <row r="22" spans="1:3" x14ac:dyDescent="0.3">
      <c r="A22" s="5" t="s">
        <v>23</v>
      </c>
      <c r="B22" s="5" t="s">
        <v>37</v>
      </c>
      <c r="C22" s="5">
        <v>15000</v>
      </c>
    </row>
  </sheetData>
  <mergeCells count="3">
    <mergeCell ref="A1:G1"/>
    <mergeCell ref="J1:L1"/>
    <mergeCell ref="A17: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2487-4F20-47EA-A558-FB60743B9FA3}">
  <dimension ref="A1:J9"/>
  <sheetViews>
    <sheetView workbookViewId="0">
      <selection activeCell="G21" sqref="G21"/>
    </sheetView>
  </sheetViews>
  <sheetFormatPr defaultRowHeight="14.4" x14ac:dyDescent="0.3"/>
  <cols>
    <col min="2" max="2" width="17.6640625" customWidth="1"/>
    <col min="3" max="3" width="10.5546875" customWidth="1"/>
    <col min="4" max="4" width="13.21875" customWidth="1"/>
    <col min="5" max="5" width="10.77734375" customWidth="1"/>
    <col min="7" max="7" width="15.109375" customWidth="1"/>
    <col min="10" max="10" width="11.6640625" customWidth="1"/>
  </cols>
  <sheetData>
    <row r="1" spans="1:10" x14ac:dyDescent="0.3">
      <c r="A1" s="3" t="s">
        <v>1</v>
      </c>
      <c r="B1" s="4" t="s">
        <v>2</v>
      </c>
      <c r="C1" s="4" t="s">
        <v>3</v>
      </c>
      <c r="D1" s="3" t="s">
        <v>4</v>
      </c>
      <c r="E1" s="3" t="s">
        <v>5</v>
      </c>
      <c r="F1" s="3" t="s">
        <v>6</v>
      </c>
      <c r="G1" s="3" t="s">
        <v>7</v>
      </c>
      <c r="H1" s="3" t="s">
        <v>43</v>
      </c>
      <c r="I1" s="3" t="s">
        <v>44</v>
      </c>
      <c r="J1" s="3" t="s">
        <v>45</v>
      </c>
    </row>
    <row r="2" spans="1:10" x14ac:dyDescent="0.3">
      <c r="A2" s="5" t="s">
        <v>8</v>
      </c>
      <c r="B2" s="6">
        <v>45293</v>
      </c>
      <c r="C2" s="7">
        <v>0.17708333333333334</v>
      </c>
      <c r="D2" s="5" t="s">
        <v>9</v>
      </c>
      <c r="E2" s="5" t="s">
        <v>10</v>
      </c>
      <c r="F2" s="5">
        <v>2</v>
      </c>
      <c r="G2" s="5">
        <v>22000</v>
      </c>
      <c r="H2" s="8">
        <f>MONTH(B2)</f>
        <v>1</v>
      </c>
      <c r="I2" s="8">
        <f>HOUR(C2)</f>
        <v>4</v>
      </c>
      <c r="J2" s="8">
        <f>WEEKDAY(B2)</f>
        <v>3</v>
      </c>
    </row>
    <row r="3" spans="1:10" x14ac:dyDescent="0.3">
      <c r="A3" s="5" t="s">
        <v>11</v>
      </c>
      <c r="B3" s="6">
        <v>45293</v>
      </c>
      <c r="C3" s="7">
        <v>0.36458333333333331</v>
      </c>
      <c r="D3" s="5" t="s">
        <v>12</v>
      </c>
      <c r="E3" s="5" t="s">
        <v>13</v>
      </c>
      <c r="F3" s="5">
        <v>1</v>
      </c>
      <c r="G3" s="5">
        <v>18000</v>
      </c>
      <c r="H3" s="8">
        <f t="shared" ref="H3:H9" si="0">MONTH(B3)</f>
        <v>1</v>
      </c>
      <c r="I3" s="8">
        <f t="shared" ref="I3:I9" si="1">HOUR(C3)</f>
        <v>8</v>
      </c>
      <c r="J3" s="8">
        <f t="shared" ref="J3:J9" si="2">WEEKDAY(B3)</f>
        <v>3</v>
      </c>
    </row>
    <row r="4" spans="1:10" x14ac:dyDescent="0.3">
      <c r="A4" s="5" t="s">
        <v>14</v>
      </c>
      <c r="B4" s="6">
        <v>45296</v>
      </c>
      <c r="C4" s="7">
        <v>0.47916666666666669</v>
      </c>
      <c r="D4" s="5" t="s">
        <v>15</v>
      </c>
      <c r="E4" s="5" t="s">
        <v>16</v>
      </c>
      <c r="F4" s="5">
        <v>3</v>
      </c>
      <c r="G4" s="5">
        <v>42000</v>
      </c>
      <c r="H4" s="8">
        <f t="shared" si="0"/>
        <v>1</v>
      </c>
      <c r="I4" s="8">
        <f t="shared" si="1"/>
        <v>11</v>
      </c>
      <c r="J4" s="8">
        <f t="shared" si="2"/>
        <v>6</v>
      </c>
    </row>
    <row r="5" spans="1:10" x14ac:dyDescent="0.3">
      <c r="A5" s="5" t="s">
        <v>17</v>
      </c>
      <c r="B5" s="6">
        <v>45298</v>
      </c>
      <c r="C5" s="7">
        <v>9.0277777777777776E-2</v>
      </c>
      <c r="D5" s="5" t="s">
        <v>18</v>
      </c>
      <c r="E5" s="5" t="s">
        <v>10</v>
      </c>
      <c r="F5" s="5">
        <v>1</v>
      </c>
      <c r="G5" s="5">
        <v>15000</v>
      </c>
      <c r="H5" s="8">
        <f t="shared" si="0"/>
        <v>1</v>
      </c>
      <c r="I5" s="8">
        <f t="shared" si="1"/>
        <v>2</v>
      </c>
      <c r="J5" s="8">
        <f t="shared" si="2"/>
        <v>1</v>
      </c>
    </row>
    <row r="6" spans="1:10" x14ac:dyDescent="0.3">
      <c r="A6" s="5" t="s">
        <v>19</v>
      </c>
      <c r="B6" s="6">
        <v>45325</v>
      </c>
      <c r="C6" s="7">
        <v>0.40277777777777779</v>
      </c>
      <c r="D6" s="5" t="s">
        <v>9</v>
      </c>
      <c r="E6" s="5" t="s">
        <v>13</v>
      </c>
      <c r="F6" s="5">
        <v>1</v>
      </c>
      <c r="G6" s="5">
        <v>11000</v>
      </c>
      <c r="H6" s="8">
        <f t="shared" si="0"/>
        <v>2</v>
      </c>
      <c r="I6" s="8">
        <f t="shared" si="1"/>
        <v>9</v>
      </c>
      <c r="J6" s="8">
        <f t="shared" si="2"/>
        <v>7</v>
      </c>
    </row>
    <row r="7" spans="1:10" x14ac:dyDescent="0.3">
      <c r="A7" s="5" t="s">
        <v>20</v>
      </c>
      <c r="B7" s="6">
        <v>45328</v>
      </c>
      <c r="C7" s="7">
        <v>0.3298611111111111</v>
      </c>
      <c r="D7" s="5" t="s">
        <v>12</v>
      </c>
      <c r="E7" s="5" t="s">
        <v>16</v>
      </c>
      <c r="F7" s="5">
        <v>2</v>
      </c>
      <c r="G7" s="5">
        <v>36000</v>
      </c>
      <c r="H7" s="8">
        <f t="shared" si="0"/>
        <v>2</v>
      </c>
      <c r="I7" s="8">
        <f t="shared" si="1"/>
        <v>7</v>
      </c>
      <c r="J7" s="8">
        <f t="shared" si="2"/>
        <v>3</v>
      </c>
    </row>
    <row r="8" spans="1:10" x14ac:dyDescent="0.3">
      <c r="A8" s="5" t="s">
        <v>21</v>
      </c>
      <c r="B8" s="6">
        <v>45331</v>
      </c>
      <c r="C8" s="7">
        <v>9.7222222222222224E-2</v>
      </c>
      <c r="D8" s="5" t="s">
        <v>15</v>
      </c>
      <c r="E8" s="5" t="s">
        <v>10</v>
      </c>
      <c r="F8" s="5">
        <v>1</v>
      </c>
      <c r="G8" s="5">
        <v>14000</v>
      </c>
      <c r="H8" s="8">
        <f t="shared" si="0"/>
        <v>2</v>
      </c>
      <c r="I8" s="8">
        <f t="shared" si="1"/>
        <v>2</v>
      </c>
      <c r="J8" s="8">
        <f t="shared" si="2"/>
        <v>6</v>
      </c>
    </row>
    <row r="9" spans="1:10" x14ac:dyDescent="0.3">
      <c r="A9" s="5" t="s">
        <v>22</v>
      </c>
      <c r="B9" s="6">
        <v>45336</v>
      </c>
      <c r="C9" s="7">
        <v>6.5972222222222224E-2</v>
      </c>
      <c r="D9" s="5" t="s">
        <v>18</v>
      </c>
      <c r="E9" s="5" t="s">
        <v>23</v>
      </c>
      <c r="F9" s="5">
        <v>2</v>
      </c>
      <c r="G9" s="5">
        <v>26000</v>
      </c>
      <c r="H9" s="8">
        <f t="shared" si="0"/>
        <v>2</v>
      </c>
      <c r="I9" s="8">
        <f t="shared" si="1"/>
        <v>1</v>
      </c>
      <c r="J9" s="8">
        <f t="shared" si="2"/>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C3DA-3AF7-4BCD-9ADF-C33737CAAAFB}">
  <dimension ref="A1:M12"/>
  <sheetViews>
    <sheetView workbookViewId="0">
      <selection activeCell="D25" sqref="D25"/>
    </sheetView>
  </sheetViews>
  <sheetFormatPr defaultRowHeight="14.4" x14ac:dyDescent="0.3"/>
  <cols>
    <col min="1" max="1" width="19" customWidth="1"/>
    <col min="2" max="2" width="14.109375" customWidth="1"/>
    <col min="3" max="3" width="17.109375" customWidth="1"/>
    <col min="4" max="4" width="15.6640625" customWidth="1"/>
    <col min="5" max="5" width="15.5546875" customWidth="1"/>
    <col min="6" max="6" width="15.21875" customWidth="1"/>
    <col min="8" max="8" width="20" customWidth="1"/>
    <col min="9" max="9" width="13.109375" customWidth="1"/>
    <col min="11" max="11" width="8.33203125" customWidth="1"/>
    <col min="12" max="12" width="17" customWidth="1"/>
    <col min="13" max="13" width="14.88671875" customWidth="1"/>
  </cols>
  <sheetData>
    <row r="1" spans="1:13" x14ac:dyDescent="0.3">
      <c r="A1" s="3" t="s">
        <v>5</v>
      </c>
      <c r="B1" s="3" t="s">
        <v>41</v>
      </c>
      <c r="C1" s="3" t="s">
        <v>7</v>
      </c>
      <c r="D1" s="3" t="s">
        <v>4</v>
      </c>
      <c r="E1" s="3" t="s">
        <v>25</v>
      </c>
      <c r="F1" s="3" t="s">
        <v>26</v>
      </c>
    </row>
    <row r="2" spans="1:13" x14ac:dyDescent="0.3">
      <c r="A2" s="5" t="s">
        <v>10</v>
      </c>
      <c r="B2" s="5" t="s">
        <v>40</v>
      </c>
      <c r="C2" s="5">
        <v>22000</v>
      </c>
      <c r="D2" s="5" t="s">
        <v>27</v>
      </c>
      <c r="E2" s="5" t="s">
        <v>28</v>
      </c>
      <c r="F2" s="5" t="s">
        <v>29</v>
      </c>
    </row>
    <row r="3" spans="1:13" x14ac:dyDescent="0.3">
      <c r="A3" s="5" t="s">
        <v>13</v>
      </c>
      <c r="B3" s="5" t="s">
        <v>39</v>
      </c>
      <c r="C3" s="5">
        <v>18000</v>
      </c>
      <c r="D3" s="5" t="s">
        <v>30</v>
      </c>
      <c r="E3" s="5" t="s">
        <v>31</v>
      </c>
      <c r="F3" s="5" t="s">
        <v>29</v>
      </c>
    </row>
    <row r="4" spans="1:13" x14ac:dyDescent="0.3">
      <c r="A4" s="5" t="s">
        <v>16</v>
      </c>
      <c r="B4" s="5" t="s">
        <v>38</v>
      </c>
      <c r="C4" s="5">
        <v>42000</v>
      </c>
      <c r="D4" s="5" t="s">
        <v>32</v>
      </c>
      <c r="E4" s="5" t="s">
        <v>33</v>
      </c>
      <c r="F4" s="5" t="s">
        <v>34</v>
      </c>
    </row>
    <row r="5" spans="1:13" x14ac:dyDescent="0.3">
      <c r="A5" s="5" t="s">
        <v>23</v>
      </c>
      <c r="B5" s="5" t="s">
        <v>37</v>
      </c>
      <c r="C5" s="5">
        <v>15000</v>
      </c>
      <c r="D5" s="5" t="s">
        <v>35</v>
      </c>
      <c r="E5" s="5" t="s">
        <v>36</v>
      </c>
      <c r="F5" s="5" t="s">
        <v>34</v>
      </c>
    </row>
    <row r="7" spans="1:13" x14ac:dyDescent="0.3">
      <c r="H7" s="1" t="s">
        <v>46</v>
      </c>
      <c r="I7" s="1"/>
      <c r="L7" s="1" t="s">
        <v>47</v>
      </c>
      <c r="M7" s="1"/>
    </row>
    <row r="8" spans="1:13" x14ac:dyDescent="0.3">
      <c r="H8" s="3" t="s">
        <v>5</v>
      </c>
      <c r="I8" s="3" t="s">
        <v>26</v>
      </c>
      <c r="L8" s="3" t="s">
        <v>25</v>
      </c>
      <c r="M8" s="3" t="s">
        <v>7</v>
      </c>
    </row>
    <row r="9" spans="1:13" x14ac:dyDescent="0.3">
      <c r="H9" s="5" t="s">
        <v>10</v>
      </c>
      <c r="I9" s="8" t="str">
        <f>VLOOKUP(H9,A:F,6,FALSE)</f>
        <v>Appliances</v>
      </c>
      <c r="L9" s="5" t="s">
        <v>28</v>
      </c>
      <c r="M9" s="8">
        <f>_xlfn.XLOOKUP(L9,E1:E5,C1:C5)</f>
        <v>22000</v>
      </c>
    </row>
    <row r="10" spans="1:13" x14ac:dyDescent="0.3">
      <c r="H10" s="5" t="s">
        <v>13</v>
      </c>
      <c r="I10" s="8" t="str">
        <f t="shared" ref="I10:I12" si="0">VLOOKUP(H10,A:F,6,FALSE)</f>
        <v>Appliances</v>
      </c>
      <c r="L10" s="5" t="s">
        <v>31</v>
      </c>
      <c r="M10" s="8">
        <f t="shared" ref="M10:M12" si="1">_xlfn.XLOOKUP(L10,E2:E6,C2:C6)</f>
        <v>18000</v>
      </c>
    </row>
    <row r="11" spans="1:13" x14ac:dyDescent="0.3">
      <c r="H11" s="5" t="s">
        <v>16</v>
      </c>
      <c r="I11" s="8" t="str">
        <f t="shared" si="0"/>
        <v>Electronics</v>
      </c>
      <c r="L11" s="5" t="s">
        <v>33</v>
      </c>
      <c r="M11" s="8">
        <f t="shared" si="1"/>
        <v>42000</v>
      </c>
    </row>
    <row r="12" spans="1:13" x14ac:dyDescent="0.3">
      <c r="H12" s="5" t="s">
        <v>23</v>
      </c>
      <c r="I12" s="8" t="str">
        <f t="shared" si="0"/>
        <v>Electronics</v>
      </c>
      <c r="L12" s="5" t="s">
        <v>36</v>
      </c>
      <c r="M12" s="8">
        <f t="shared" si="1"/>
        <v>15000</v>
      </c>
    </row>
  </sheetData>
  <mergeCells count="2">
    <mergeCell ref="H7:I7"/>
    <mergeCell ref="L7:M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743B0-EDE9-406A-8A71-8B3AD7513C51}">
  <dimension ref="B1:T25"/>
  <sheetViews>
    <sheetView showGridLines="0" topLeftCell="F1" workbookViewId="0">
      <selection activeCell="O26" sqref="O26"/>
    </sheetView>
  </sheetViews>
  <sheetFormatPr defaultRowHeight="14.4" x14ac:dyDescent="0.3"/>
  <cols>
    <col min="2" max="2" width="9.21875" customWidth="1"/>
    <col min="3" max="3" width="15.21875" bestFit="1" customWidth="1"/>
    <col min="4" max="4" width="18.21875" bestFit="1" customWidth="1"/>
    <col min="7" max="7" width="12.21875" customWidth="1"/>
    <col min="8" max="8" width="14.6640625" bestFit="1" customWidth="1"/>
    <col min="9" max="9" width="18.21875" bestFit="1" customWidth="1"/>
    <col min="13" max="13" width="14.6640625" bestFit="1" customWidth="1"/>
    <col min="14" max="14" width="18.21875" bestFit="1" customWidth="1"/>
    <col min="18" max="18" width="14.6640625" bestFit="1" customWidth="1"/>
    <col min="19" max="19" width="18.21875" bestFit="1" customWidth="1"/>
  </cols>
  <sheetData>
    <row r="1" spans="2:20" x14ac:dyDescent="0.3">
      <c r="B1" s="12" t="s">
        <v>51</v>
      </c>
      <c r="C1" s="12"/>
      <c r="D1" s="12"/>
      <c r="E1" s="12"/>
      <c r="G1" s="12" t="s">
        <v>52</v>
      </c>
      <c r="H1" s="12"/>
      <c r="I1" s="12"/>
      <c r="J1" s="12"/>
      <c r="L1" s="12" t="s">
        <v>53</v>
      </c>
      <c r="M1" s="12"/>
      <c r="N1" s="12"/>
      <c r="O1" s="12"/>
      <c r="Q1" s="12" t="s">
        <v>54</v>
      </c>
      <c r="R1" s="12"/>
      <c r="S1" s="12"/>
      <c r="T1" s="12"/>
    </row>
    <row r="2" spans="2:20" x14ac:dyDescent="0.3">
      <c r="B2" s="12"/>
      <c r="C2" s="12"/>
      <c r="D2" s="12"/>
      <c r="E2" s="12"/>
      <c r="F2" s="11"/>
      <c r="G2" s="12"/>
      <c r="H2" s="12"/>
      <c r="I2" s="12"/>
      <c r="J2" s="12"/>
      <c r="L2" s="12"/>
      <c r="M2" s="12"/>
      <c r="N2" s="12"/>
      <c r="O2" s="12"/>
      <c r="Q2" s="12"/>
      <c r="R2" s="12"/>
      <c r="S2" s="12"/>
      <c r="T2" s="12"/>
    </row>
    <row r="3" spans="2:20" x14ac:dyDescent="0.3">
      <c r="B3" s="12"/>
      <c r="C3" s="12"/>
      <c r="D3" s="12"/>
      <c r="E3" s="12"/>
      <c r="G3" s="12"/>
      <c r="H3" s="12"/>
      <c r="I3" s="12"/>
      <c r="J3" s="12"/>
      <c r="L3" s="12"/>
      <c r="M3" s="12"/>
      <c r="N3" s="12"/>
      <c r="O3" s="12"/>
      <c r="Q3" s="12"/>
      <c r="R3" s="12"/>
      <c r="S3" s="12"/>
      <c r="T3" s="12"/>
    </row>
    <row r="20" spans="3:19" x14ac:dyDescent="0.3">
      <c r="C20" s="9" t="s">
        <v>48</v>
      </c>
      <c r="D20" s="8" t="s">
        <v>50</v>
      </c>
      <c r="H20" s="9" t="s">
        <v>48</v>
      </c>
      <c r="I20" s="8" t="s">
        <v>50</v>
      </c>
      <c r="M20" s="9" t="s">
        <v>48</v>
      </c>
      <c r="N20" s="8" t="s">
        <v>50</v>
      </c>
      <c r="R20" s="9" t="s">
        <v>48</v>
      </c>
      <c r="S20" s="8" t="s">
        <v>50</v>
      </c>
    </row>
    <row r="21" spans="3:19" x14ac:dyDescent="0.3">
      <c r="C21" s="8" t="s">
        <v>33</v>
      </c>
      <c r="D21" s="10">
        <v>42000</v>
      </c>
      <c r="H21" s="8" t="s">
        <v>29</v>
      </c>
      <c r="I21" s="10">
        <v>40000</v>
      </c>
      <c r="M21" s="8" t="s">
        <v>38</v>
      </c>
      <c r="N21" s="10">
        <v>42000</v>
      </c>
      <c r="R21" s="8" t="s">
        <v>27</v>
      </c>
      <c r="S21" s="10">
        <v>22000</v>
      </c>
    </row>
    <row r="22" spans="3:19" x14ac:dyDescent="0.3">
      <c r="C22" s="8" t="s">
        <v>36</v>
      </c>
      <c r="D22" s="10">
        <v>15000</v>
      </c>
      <c r="H22" s="8" t="s">
        <v>34</v>
      </c>
      <c r="I22" s="10">
        <v>57000</v>
      </c>
      <c r="M22" s="8" t="s">
        <v>40</v>
      </c>
      <c r="N22" s="10">
        <v>22000</v>
      </c>
      <c r="R22" s="8" t="s">
        <v>30</v>
      </c>
      <c r="S22" s="10">
        <v>18000</v>
      </c>
    </row>
    <row r="23" spans="3:19" x14ac:dyDescent="0.3">
      <c r="C23" s="8" t="s">
        <v>28</v>
      </c>
      <c r="D23" s="10">
        <v>22000</v>
      </c>
      <c r="H23" s="8" t="s">
        <v>49</v>
      </c>
      <c r="I23" s="10">
        <v>97000</v>
      </c>
      <c r="M23" s="8" t="s">
        <v>39</v>
      </c>
      <c r="N23" s="10">
        <v>18000</v>
      </c>
      <c r="R23" s="8" t="s">
        <v>32</v>
      </c>
      <c r="S23" s="10">
        <v>42000</v>
      </c>
    </row>
    <row r="24" spans="3:19" x14ac:dyDescent="0.3">
      <c r="C24" s="8" t="s">
        <v>31</v>
      </c>
      <c r="D24" s="10">
        <v>18000</v>
      </c>
      <c r="M24" s="8" t="s">
        <v>37</v>
      </c>
      <c r="N24" s="10">
        <v>15000</v>
      </c>
      <c r="R24" s="8" t="s">
        <v>35</v>
      </c>
      <c r="S24" s="10">
        <v>15000</v>
      </c>
    </row>
    <row r="25" spans="3:19" x14ac:dyDescent="0.3">
      <c r="C25" s="8" t="s">
        <v>49</v>
      </c>
      <c r="D25" s="10">
        <v>97000</v>
      </c>
      <c r="M25" s="8" t="s">
        <v>49</v>
      </c>
      <c r="N25" s="10">
        <v>97000</v>
      </c>
      <c r="R25" s="8" t="s">
        <v>49</v>
      </c>
      <c r="S25" s="10">
        <v>97000</v>
      </c>
    </row>
  </sheetData>
  <mergeCells count="4">
    <mergeCell ref="B1:E3"/>
    <mergeCell ref="G1:J3"/>
    <mergeCell ref="L1:O3"/>
    <mergeCell ref="Q1:T3"/>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252C-1C37-433E-A0CC-49CDF559E1A4}">
  <dimension ref="A1:U2"/>
  <sheetViews>
    <sheetView showGridLines="0" workbookViewId="0">
      <selection sqref="A1:A1048576"/>
    </sheetView>
  </sheetViews>
  <sheetFormatPr defaultRowHeight="14.4" x14ac:dyDescent="0.3"/>
  <cols>
    <col min="1" max="1" width="26.6640625" style="14" customWidth="1"/>
  </cols>
  <sheetData>
    <row r="1" spans="2:21" x14ac:dyDescent="0.3">
      <c r="B1" s="13"/>
      <c r="C1" s="13"/>
      <c r="D1" s="13"/>
      <c r="E1" s="13"/>
      <c r="F1" s="13"/>
      <c r="G1" s="13"/>
      <c r="H1" s="13"/>
      <c r="I1" s="13"/>
      <c r="J1" s="13"/>
      <c r="K1" s="13"/>
      <c r="L1" s="13"/>
      <c r="M1" s="13"/>
      <c r="N1" s="13"/>
      <c r="O1" s="13"/>
      <c r="P1" s="13"/>
      <c r="Q1" s="13"/>
      <c r="R1" s="13"/>
      <c r="S1" s="13"/>
      <c r="T1" s="13"/>
      <c r="U1" s="13"/>
    </row>
    <row r="2" spans="2:21" x14ac:dyDescent="0.3">
      <c r="B2" s="13"/>
      <c r="C2" s="13"/>
      <c r="D2" s="13"/>
      <c r="E2" s="13"/>
      <c r="F2" s="13"/>
      <c r="G2" s="13"/>
      <c r="H2" s="13"/>
      <c r="I2" s="13"/>
      <c r="J2" s="13"/>
      <c r="K2" s="13"/>
      <c r="L2" s="13"/>
      <c r="M2" s="13"/>
      <c r="N2" s="13"/>
      <c r="O2" s="13"/>
      <c r="P2" s="13"/>
      <c r="Q2" s="13"/>
      <c r="R2" s="13"/>
      <c r="S2" s="13"/>
      <c r="T2" s="13"/>
      <c r="U2" s="13"/>
    </row>
  </sheetData>
  <mergeCells count="1">
    <mergeCell ref="B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Dateset</vt:lpstr>
      <vt:lpstr>Date&amp;Time</vt:lpstr>
      <vt:lpstr>Lookup</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Rebin Raj</dc:creator>
  <cp:lastModifiedBy>Rebin Raj</cp:lastModifiedBy>
  <dcterms:created xsi:type="dcterms:W3CDTF">2026-02-06T11:10:40Z</dcterms:created>
  <dcterms:modified xsi:type="dcterms:W3CDTF">2026-02-06T12:24:40Z</dcterms:modified>
</cp:coreProperties>
</file>